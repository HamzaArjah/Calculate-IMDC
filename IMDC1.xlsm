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18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ownloads\"/>
    </mc:Choice>
  </mc:AlternateContent>
  <xr:revisionPtr revIDLastSave="0" documentId="13_ncr:1_{52699733-7CBB-493B-82CB-51E268082DFF}" xr6:coauthVersionLast="47" xr6:coauthVersionMax="47" xr10:uidLastSave="{00000000-0000-0000-0000-000000000000}"/>
  <workbookProtection lockStructure="1"/>
  <bookViews>
    <workbookView xWindow="-108" yWindow="-108" windowWidth="23256" windowHeight="12456" xr2:uid="{00000000-000D-0000-FFFF-FFFF00000000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6" i="1"/>
  <c r="J6" i="1" l="1"/>
  <c r="J7" i="1"/>
  <c r="I2" i="1" s="1"/>
  <c r="J10" i="1"/>
  <c r="J9" i="1"/>
  <c r="J8" i="1"/>
</calcChain>
</file>

<file path=xl/sharedStrings.xml><?xml version="1.0" encoding="utf-8"?>
<sst xmlns="http://schemas.openxmlformats.org/spreadsheetml/2006/main" count="8" uniqueCount="8">
  <si>
    <t>Slice 1</t>
  </si>
  <si>
    <t>Slice 2</t>
  </si>
  <si>
    <t>Slice 3</t>
  </si>
  <si>
    <t>Slice 4</t>
  </si>
  <si>
    <t>Slice 5</t>
  </si>
  <si>
    <t>ROI size</t>
  </si>
  <si>
    <t>Average MDC Slice 1-5</t>
  </si>
  <si>
    <t>intigration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</si>
</sst>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/>
    <xf numFmtId="0" fontId="1" fillId="2" borderId="0" xfId="0" applyFont="1" applyFill="1"/>
    <xf numFmtId="0" fontId="1" fillId="2" borderId="0" xfId="0" applyFont="1" applyFill="1" applyAlignment="1" applyProtection="1">
      <alignment horizontal="center"/>
      <protection hidden="1"/>
    </xf>
    <xf numFmtId="2" fontId="1" fillId="2" borderId="0" xfId="0" applyNumberFormat="1" applyFont="1" applyFill="1" applyAlignment="1" applyProtection="1">
      <alignment horizontal="center" vertical="center"/>
      <protection hidden="1"/>
    </xf>
  </cellXfs>
  <cellStyles count="1">
    <cellStyle name="Normal" xfId="0" builtinId="0"/>
  </cellStyles>
  <dxfs count="10">
    <dxf>
      <font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textRotation="0" wrapText="0" indent="0" justifyLastLine="0" shrinkToFit="0" readingOrder="0"/>
      <protection locked="1" hidden="1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Sheet1!$I$5</c:f>
              <c:strCache>
                <c:ptCount val="1"/>
                <c:pt idx="0">
                  <c:v>Average MDC Slice 1-5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Sheet1!$H$6:$H$11</c:f>
              <c:numCache>
                <c:formatCode>0.00</c:formatCode>
                <c:ptCount val="6"/>
                <c:pt idx="0">
                  <c:v>3.0859399999999999</c:v>
                </c:pt>
                <c:pt idx="1">
                  <c:v>4.320316</c:v>
                </c:pt>
                <c:pt idx="2">
                  <c:v>5.5546919999999993</c:v>
                </c:pt>
                <c:pt idx="3">
                  <c:v>6.7890679999999994</c:v>
                </c:pt>
                <c:pt idx="4">
                  <c:v>8.0234439999999996</c:v>
                </c:pt>
                <c:pt idx="5">
                  <c:v>9</c:v>
                </c:pt>
              </c:numCache>
            </c:numRef>
          </c:xVal>
          <c:yVal>
            <c:numRef>
              <c:f>Sheet1!$I$6:$I$11</c:f>
              <c:numCache>
                <c:formatCode>0.00</c:formatCode>
                <c:ptCount val="6"/>
                <c:pt idx="0">
                  <c:v>2.89277090632</c:v>
                </c:pt>
                <c:pt idx="1">
                  <c:v>2.0581139715600001</c:v>
                </c:pt>
                <c:pt idx="2">
                  <c:v>1.6945533662799999</c:v>
                </c:pt>
                <c:pt idx="3">
                  <c:v>1.29063523884</c:v>
                </c:pt>
                <c:pt idx="4">
                  <c:v>1.0585867650799998</c:v>
                </c:pt>
                <c:pt idx="5">
                  <c:v>0.72875182224000001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A-4F01-973F-CE2F62BB9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77728"/>
        <c:axId val="1565688288"/>
      </c:scatterChart>
      <c:valAx>
        <c:axId val="156567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ROI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5688288"/>
        <c:crosses val="autoZero"/>
        <c:crossBetween val="midCat"/>
      </c:valAx>
      <c:valAx>
        <c:axId val="156568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Average MDC SLice 1 - 5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567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464820</xdr:colOff>
      <xdr:row>12</xdr:row>
      <xdr:rowOff>19050</xdr:rowOff>
    </xdr:from>
    <xdr:to>
      <xdr:col>8</xdr:col>
      <xdr:colOff>1569720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05A8B6-5FF1-1F13-42F7-5D6C013221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0</xdr:row>
          <xdr:rowOff>45720</xdr:rowOff>
        </xdr:from>
        <xdr:to>
          <xdr:col>7</xdr:col>
          <xdr:colOff>297180</xdr:colOff>
          <xdr:row>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IMDC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83820</xdr:colOff>
      <xdr:row>14</xdr:row>
      <xdr:rowOff>60960</xdr:rowOff>
    </xdr:from>
    <xdr:to>
      <xdr:col>19</xdr:col>
      <xdr:colOff>427332</xdr:colOff>
      <xdr:row>27</xdr:row>
      <xdr:rowOff>144993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107FCB10-2AFD-2472-7295-9FD60C568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2621280"/>
          <a:ext cx="7064352" cy="2461473"/>
        </a:xfrm>
        <a:prstGeom prst="rect">
          <a:avLst/>
        </a:prstGeom>
      </xdr:spPr>
    </xdr:pic>
    <xdr:clientData/>
  </xdr:twoCellAnchor>
  <xdr:twoCellAnchor editAs="oneCell">
    <xdr:from>
      <xdr:col>9</xdr:col>
      <xdr:colOff>45721</xdr:colOff>
      <xdr:row>0</xdr:row>
      <xdr:rowOff>38101</xdr:rowOff>
    </xdr:from>
    <xdr:to>
      <xdr:col>12</xdr:col>
      <xdr:colOff>264431</xdr:colOff>
      <xdr:row>14</xdr:row>
      <xdr:rowOff>68581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78FD945-1596-3D16-E553-E769288B3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70421" y="38101"/>
          <a:ext cx="2672350" cy="2590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BB18F7-ACD3-4D3D-9940-EFFA2633A3EC}" name="Table1" displayName="Table1" ref="C5:J11" totalsRowShown="0" headerRowDxfId="9" dataDxfId="8">
  <autoFilter ref="C5:J11" xr:uid="{A9BB18F7-ACD3-4D3D-9940-EFFA2633A3EC}"/>
  <tableColumns count="8">
    <tableColumn id="2" xr3:uid="{B67DFB7C-035D-475F-ACD8-B5EC7E7F165A}" name="Slice 1" dataDxfId="7"/>
    <tableColumn id="3" xr3:uid="{88D088F1-B01C-46AE-A078-5C88B1D1D338}" name="Slice 2" dataDxfId="6"/>
    <tableColumn id="4" xr3:uid="{441E8801-CE59-4FEF-94BC-02C31A516407}" name="Slice 3" dataDxfId="5"/>
    <tableColumn id="5" xr3:uid="{45BA633F-7547-4A60-82FD-63CB54E82C38}" name="Slice 4" dataDxfId="4"/>
    <tableColumn id="6" xr3:uid="{CC44FCFD-4CD3-4063-8C64-C77E57FCB692}" name="Slice 5" dataDxfId="3"/>
    <tableColumn id="7" xr3:uid="{7A98199D-72E2-4CA9-B5F1-ED9F5DCE1901}" name="ROI size" dataDxfId="2"/>
    <tableColumn id="8" xr3:uid="{4D61486F-7658-469B-B11E-511DECE02886}" name="Average MDC Slice 1-5" dataDxfId="1"/>
    <tableColumn id="9" xr3:uid="{58504B2B-D712-49C1-89C7-9941674ECC66}" name="intigrat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13"/>
  <sheetViews>
    <sheetView tabSelected="1" workbookViewId="0">
      <selection activeCell="O10" sqref="O10"/>
    </sheetView>
  </sheetViews>
  <sheetFormatPr defaultColWidth="8.88671875" defaultRowHeight="14.4" x14ac:dyDescent="0.3"/>
  <cols>
    <col min="1" max="2" width="8.88671875" style="3"/>
    <col min="3" max="8" width="10.109375" style="3" customWidth="1"/>
    <col min="9" max="9" width="25.44140625" style="3" customWidth="1"/>
    <col min="10" max="10" width="18" style="3" customWidth="1"/>
    <col min="11" max="16384" width="8.88671875" style="3"/>
  </cols>
  <sheetData>
    <row r="2" spans="3:11" x14ac:dyDescent="0.3">
      <c r="I2" s="1">
        <f>SUM(J6:J10)</f>
        <v>9.5367803106274103</v>
      </c>
    </row>
    <row r="3" spans="3:11" x14ac:dyDescent="0.3">
      <c r="J3" s="4"/>
      <c r="K3" s="4"/>
    </row>
    <row r="4" spans="3:11" x14ac:dyDescent="0.3">
      <c r="J4" s="4"/>
      <c r="K4" s="4"/>
    </row>
    <row r="5" spans="3:11" x14ac:dyDescent="0.3">
      <c r="C5" s="2" t="s">
        <v>0</v>
      </c>
      <c r="D5" s="2" t="s">
        <v>1</v>
      </c>
      <c r="E5" s="2" t="s">
        <v>2</v>
      </c>
      <c r="F5" s="2" t="s">
        <v>3</v>
      </c>
      <c r="G5" s="2" t="s">
        <v>4</v>
      </c>
      <c r="H5" s="2" t="s">
        <v>5</v>
      </c>
      <c r="I5" s="2" t="s">
        <v>6</v>
      </c>
      <c r="J5" s="5" t="s">
        <v>7</v>
      </c>
      <c r="K5" s="4"/>
    </row>
    <row r="6" spans="3:11" x14ac:dyDescent="0.3">
      <c r="C6" s="1">
        <v>2.4831313660000003</v>
      </c>
      <c r="D6" s="1">
        <v>4.1418784175999992</v>
      </c>
      <c r="E6" s="1">
        <v>1.7162795529999997</v>
      </c>
      <c r="F6" s="1">
        <v>3.122565195</v>
      </c>
      <c r="G6" s="1">
        <v>3</v>
      </c>
      <c r="H6" s="1">
        <v>3.0859399999999999</v>
      </c>
      <c r="I6" s="1">
        <f>AVERAGE(Table1[[#This Row],[Slice 1]:[Slice 5]])</f>
        <v>2.89277090632</v>
      </c>
      <c r="J6" s="6">
        <f>(I7+I6)/2*(H7-H6)</f>
        <v>3.0556267360090019</v>
      </c>
      <c r="K6" s="4"/>
    </row>
    <row r="7" spans="3:11" x14ac:dyDescent="0.3">
      <c r="C7" s="1">
        <v>1.9341696096000001</v>
      </c>
      <c r="D7" s="1">
        <v>2.9947970397999999</v>
      </c>
      <c r="E7" s="1">
        <v>1.2941337829999999</v>
      </c>
      <c r="F7" s="1">
        <v>2.1332998158000001</v>
      </c>
      <c r="G7" s="1">
        <v>1.9341696096000001</v>
      </c>
      <c r="H7" s="1">
        <v>4.320316</v>
      </c>
      <c r="I7" s="1">
        <f>AVERAGE(Table1[[#This Row],[Slice 1]:[Slice 5]])</f>
        <v>2.0581139715600001</v>
      </c>
      <c r="J7" s="6">
        <f>(I8+I7)/2*(H8-H7)</f>
        <v>2.3161012489067927</v>
      </c>
      <c r="K7" s="4"/>
    </row>
    <row r="8" spans="3:11" x14ac:dyDescent="0.3">
      <c r="C8" s="1">
        <v>1.4900954581999999</v>
      </c>
      <c r="D8" s="1">
        <v>2</v>
      </c>
      <c r="E8" s="1">
        <v>2</v>
      </c>
      <c r="F8" s="1">
        <v>1.492575915</v>
      </c>
      <c r="G8" s="1">
        <v>1.4900954581999999</v>
      </c>
      <c r="H8" s="1">
        <v>5.5546919999999993</v>
      </c>
      <c r="I8" s="1">
        <f>AVERAGE(Table1[[#This Row],[Slice 1]:[Slice 5]])</f>
        <v>1.6945533662799999</v>
      </c>
      <c r="J8" s="6">
        <f>(I9+I8)/2*(H9-H8)</f>
        <v>1.8424225848168028</v>
      </c>
      <c r="K8" s="4"/>
    </row>
    <row r="9" spans="3:11" x14ac:dyDescent="0.3">
      <c r="C9" s="1">
        <v>1.1969716821999998</v>
      </c>
      <c r="D9" s="1">
        <v>1.8926345820000001</v>
      </c>
      <c r="E9" s="1">
        <v>0.83426742179999991</v>
      </c>
      <c r="F9" s="1">
        <v>1.2293025082</v>
      </c>
      <c r="G9" s="1">
        <v>1.3</v>
      </c>
      <c r="H9" s="1">
        <v>6.7890679999999994</v>
      </c>
      <c r="I9" s="1">
        <f>AVERAGE(Table1[[#This Row],[Slice 1]:[Slice 5]])</f>
        <v>1.29063523884</v>
      </c>
      <c r="J9" s="6">
        <f>(I10+I9)/2*(H10-H9)</f>
        <v>1.4499116301553769</v>
      </c>
      <c r="K9" s="4"/>
    </row>
    <row r="10" spans="3:11" x14ac:dyDescent="0.3">
      <c r="C10" s="1">
        <v>1.0037990254</v>
      </c>
      <c r="D10" s="1">
        <v>1.5373924818</v>
      </c>
      <c r="E10" s="1">
        <v>0.7102234342</v>
      </c>
      <c r="F10" s="1">
        <v>1.0377198586</v>
      </c>
      <c r="G10" s="1">
        <v>1.0037990254</v>
      </c>
      <c r="H10" s="1">
        <v>8.0234439999999996</v>
      </c>
      <c r="I10" s="1">
        <f>AVERAGE(Table1[[#This Row],[Slice 1]:[Slice 5]])</f>
        <v>1.0585867650799998</v>
      </c>
      <c r="J10" s="6">
        <f>(I11+I10)/2*(H11-H10)</f>
        <v>0.87271811073943528</v>
      </c>
      <c r="K10" s="4"/>
    </row>
    <row r="11" spans="3:11" x14ac:dyDescent="0.3">
      <c r="C11" s="1">
        <v>0.85789852480000006</v>
      </c>
      <c r="D11" s="1">
        <v>0.3</v>
      </c>
      <c r="E11" s="1">
        <v>0.65675359580000003</v>
      </c>
      <c r="F11" s="1">
        <v>0.97120846579999998</v>
      </c>
      <c r="G11" s="1">
        <v>0.85789852480000006</v>
      </c>
      <c r="H11" s="1">
        <v>9</v>
      </c>
      <c r="I11" s="1">
        <f>AVERAGE(Table1[[#This Row],[Slice 1]:[Slice 5]])</f>
        <v>0.72875182224000001</v>
      </c>
      <c r="J11" s="6"/>
      <c r="K11" s="4"/>
    </row>
    <row r="12" spans="3:11" x14ac:dyDescent="0.3">
      <c r="J12" s="4"/>
      <c r="K12" s="4"/>
    </row>
    <row r="13" spans="3:11" x14ac:dyDescent="0.3">
      <c r="J13" s="4"/>
      <c r="K13" s="4"/>
    </row>
  </sheetData>
  <sheetProtection sheet="1" formatCells="0" formatColumns="0" formatRows="0" insertColumns="0" insertRows="0" insertHyperlinks="0" deleteColumns="0" deleteRows="0" sort="0" autoFilter="0" pivotTables="0"/>
  <protectedRanges>
    <protectedRange sqref="I2" name="Range2"/>
    <protectedRange sqref="C6:H11" name="Range1"/>
  </protectedRange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_IMDC">
                <anchor moveWithCells="1">
                  <from>
                    <xdr:col>5</xdr:col>
                    <xdr:colOff>106680</xdr:colOff>
                    <xdr:row>0</xdr:row>
                    <xdr:rowOff>45720</xdr:rowOff>
                  </from>
                  <to>
                    <xdr:col>7</xdr:col>
                    <xdr:colOff>297180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Hamza Arjah</dc:creator>
  <cp:keywords/>
  <dc:description/>
  <cp:lastModifiedBy>Hamza Arjah</cp:lastModifiedBy>
  <cp:revision/>
  <dcterms:created xsi:type="dcterms:W3CDTF">2015-06-05T18:17:20Z</dcterms:created>
  <dcterms:modified xsi:type="dcterms:W3CDTF">2024-11-20T11:33:36Z</dcterms:modified>
  <cp:category/>
  <cp:contentStatus/>
</cp:coreProperties>
</file>